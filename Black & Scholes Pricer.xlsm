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75" windowWidth="12915" windowHeight="4935"/>
  </bookViews>
  <sheets>
    <sheet name="Feuil1" sheetId="1" r:id="rId1"/>
    <sheet name="Feuil2" sheetId="2" r:id="rId2"/>
    <sheet name="Feuil3" sheetId="3" r:id="rId3"/>
  </sheets>
  <functionGroups builtInGroupCount="17"/>
  <definedNames>
    <definedName name="Entreprises">Feuil1!$G$2:$G$38</definedName>
    <definedName name="Maturités_possibles">Feuil1!$F$6:$F$13</definedName>
    <definedName name="ProduitsPossibles">Feuil1!$H$2:$H$38</definedName>
  </definedNames>
  <calcPr calcId="145621"/>
</workbook>
</file>

<file path=xl/calcChain.xml><?xml version="1.0" encoding="utf-8"?>
<calcChain xmlns="http://schemas.openxmlformats.org/spreadsheetml/2006/main">
  <c r="D8" i="1" l="1"/>
</calcChain>
</file>

<file path=xl/sharedStrings.xml><?xml version="1.0" encoding="utf-8"?>
<sst xmlns="http://schemas.openxmlformats.org/spreadsheetml/2006/main" count="110" uniqueCount="107">
  <si>
    <t>delta</t>
  </si>
  <si>
    <t>gamma</t>
  </si>
  <si>
    <t>Strike</t>
  </si>
  <si>
    <t>Produit</t>
  </si>
  <si>
    <t>vega</t>
  </si>
  <si>
    <t>Call ou Put</t>
  </si>
  <si>
    <t>spot</t>
  </si>
  <si>
    <t>vol</t>
  </si>
  <si>
    <t>GSZ</t>
  </si>
  <si>
    <t>EI</t>
  </si>
  <si>
    <t>LR</t>
  </si>
  <si>
    <t>DG</t>
  </si>
  <si>
    <t>MC</t>
  </si>
  <si>
    <t>BN</t>
  </si>
  <si>
    <t>STM</t>
  </si>
  <si>
    <t>VIV</t>
  </si>
  <si>
    <t>CS</t>
  </si>
  <si>
    <t>PUB</t>
  </si>
  <si>
    <t>EN</t>
  </si>
  <si>
    <t>TEC</t>
  </si>
  <si>
    <t>ACA</t>
  </si>
  <si>
    <t>OR</t>
  </si>
  <si>
    <t>ORA</t>
  </si>
  <si>
    <t>UG</t>
  </si>
  <si>
    <t>VK</t>
  </si>
  <si>
    <t>AI</t>
  </si>
  <si>
    <t>CA</t>
  </si>
  <si>
    <t>RNO</t>
  </si>
  <si>
    <t>SAF</t>
  </si>
  <si>
    <t>SU</t>
  </si>
  <si>
    <t>CAP</t>
  </si>
  <si>
    <t>AC</t>
  </si>
  <si>
    <t>ALU</t>
  </si>
  <si>
    <t>LG</t>
  </si>
  <si>
    <t>ALO</t>
  </si>
  <si>
    <t>RI</t>
  </si>
  <si>
    <t>EDF</t>
  </si>
  <si>
    <t>BNP</t>
  </si>
  <si>
    <t>SGO</t>
  </si>
  <si>
    <t>GLE</t>
  </si>
  <si>
    <t>SAN</t>
  </si>
  <si>
    <t>ML</t>
  </si>
  <si>
    <t>FP</t>
  </si>
  <si>
    <t>KER</t>
  </si>
  <si>
    <t>VIE</t>
  </si>
  <si>
    <t>Liste des codes produit possibles</t>
  </si>
  <si>
    <t>Accor</t>
  </si>
  <si>
    <t>Air Liquide</t>
  </si>
  <si>
    <t>Alcatel Lucent</t>
  </si>
  <si>
    <t>Alstom</t>
  </si>
  <si>
    <t>Axa</t>
  </si>
  <si>
    <t>Bnp Paribas</t>
  </si>
  <si>
    <t>Bouygues</t>
  </si>
  <si>
    <t>Cap Gemini</t>
  </si>
  <si>
    <t>Carrefour</t>
  </si>
  <si>
    <t>Credit Agricole</t>
  </si>
  <si>
    <t>Danone</t>
  </si>
  <si>
    <t>Essilor Intl</t>
  </si>
  <si>
    <t>Orange</t>
  </si>
  <si>
    <t>GDF Suez</t>
  </si>
  <si>
    <t>L'oreal</t>
  </si>
  <si>
    <t>Lafarge</t>
  </si>
  <si>
    <t>LVMH</t>
  </si>
  <si>
    <t>Michelin</t>
  </si>
  <si>
    <t>Pernod-Ricard</t>
  </si>
  <si>
    <t>Peugeot</t>
  </si>
  <si>
    <t>Kering</t>
  </si>
  <si>
    <t>Publicis</t>
  </si>
  <si>
    <t>Renault</t>
  </si>
  <si>
    <t>Safran</t>
  </si>
  <si>
    <t>Saint Gobain</t>
  </si>
  <si>
    <t>Sanofi</t>
  </si>
  <si>
    <t>Schneider Electric</t>
  </si>
  <si>
    <t>Societe Generale</t>
  </si>
  <si>
    <t>Stmicroelectronics</t>
  </si>
  <si>
    <t>Technip</t>
  </si>
  <si>
    <t>Total</t>
  </si>
  <si>
    <t>Vallourec</t>
  </si>
  <si>
    <t>Veolia Environ.</t>
  </si>
  <si>
    <t>Vinci</t>
  </si>
  <si>
    <t>Vivendi</t>
  </si>
  <si>
    <t>Liste des entreprises possibles</t>
  </si>
  <si>
    <t>Types d'options possibles</t>
  </si>
  <si>
    <t>Call</t>
  </si>
  <si>
    <t>Put</t>
  </si>
  <si>
    <t>Pricer Black &amp; Scholes</t>
  </si>
  <si>
    <t>theta</t>
  </si>
  <si>
    <t>rho</t>
  </si>
  <si>
    <t>Black a Scholes Price</t>
  </si>
  <si>
    <t>Modify F, G and H columns only if you know carefully what you do</t>
  </si>
  <si>
    <t>Modify D8 Cell only if you know carefully what you do</t>
  </si>
  <si>
    <t>free rate</t>
  </si>
  <si>
    <t>Manual :</t>
  </si>
  <si>
    <t>It will call C++ dlls code and calculate other values</t>
  </si>
  <si>
    <t>Spot, vol and free rate are crowled from the market with the MarketData module</t>
  </si>
  <si>
    <t>Greek letters and Black&amp;Scholes price are calculated from the QuantModel module</t>
  </si>
  <si>
    <t>1) Enter your inputs in C7, C8, C9 and C10 columns</t>
  </si>
  <si>
    <t>2) Click on the "Calculate the price" button</t>
  </si>
  <si>
    <r>
      <rPr>
        <b/>
        <sz val="11"/>
        <color theme="1"/>
        <rFont val="Calibri"/>
        <family val="2"/>
        <scheme val="minor"/>
      </rPr>
      <t>BUT</t>
    </r>
    <r>
      <rPr>
        <sz val="11"/>
        <color theme="1"/>
        <rFont val="Calibri"/>
        <family val="2"/>
        <scheme val="minor"/>
      </rPr>
      <t xml:space="preserve"> you will </t>
    </r>
    <r>
      <rPr>
        <b/>
        <sz val="11"/>
        <color theme="1"/>
        <rFont val="Calibri"/>
        <family val="2"/>
        <scheme val="minor"/>
      </rPr>
      <t>always</t>
    </r>
    <r>
      <rPr>
        <sz val="11"/>
        <color theme="1"/>
        <rFont val="Calibri"/>
        <family val="2"/>
        <scheme val="minor"/>
      </rPr>
      <t xml:space="preserve"> need the 7 other parameters</t>
    </r>
  </si>
  <si>
    <t>You can customize as you like Greek letters and Black&amp;Scholes price (display or hide some of those ones)</t>
  </si>
  <si>
    <t xml:space="preserve"> Greek letters</t>
  </si>
  <si>
    <t>Data from Market</t>
  </si>
  <si>
    <t>&lt;-- Your imputs : you can modify those cells</t>
  </si>
  <si>
    <t>Maturity (weeks)</t>
  </si>
  <si>
    <t>Maturités possibles</t>
  </si>
  <si>
    <t>In the mathematical model, one year = 48 weeks because one month = 4 weeks</t>
  </si>
  <si>
    <t>Legrand 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</si>
</sst>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0" fillId="0" borderId="0" xfId="0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2" borderId="16" xfId="0" applyFill="1" applyBorder="1" applyAlignment="1" applyProtection="1">
      <alignment horizontal="center" vertical="center"/>
      <protection locked="0"/>
    </xf>
    <xf numFmtId="0" fontId="3" fillId="0" borderId="0" xfId="0" applyFont="1"/>
    <xf numFmtId="0" fontId="4" fillId="0" borderId="0" xfId="0" applyFont="1"/>
    <xf numFmtId="0" fontId="0" fillId="3" borderId="6" xfId="0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3" borderId="14" xfId="0" applyFill="1" applyBorder="1" applyAlignment="1" applyProtection="1">
      <alignment horizontal="center" vertical="center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alignment horizontal="center" vertical="center"/>
      <protection locked="0"/>
    </xf>
    <xf numFmtId="0" fontId="0" fillId="5" borderId="6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5" borderId="4" xfId="0" applyFill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4" borderId="17" xfId="0" applyFill="1" applyBorder="1" applyAlignment="1" applyProtection="1">
      <alignment horizontal="center" vertical="center"/>
      <protection locked="0"/>
    </xf>
    <xf numFmtId="0" fontId="0" fillId="4" borderId="18" xfId="0" applyFill="1" applyBorder="1" applyAlignment="1" applyProtection="1">
      <alignment horizontal="center" vertical="center"/>
      <protection locked="0"/>
    </xf>
    <xf numFmtId="0" fontId="0" fillId="3" borderId="17" xfId="0" applyFill="1" applyBorder="1" applyAlignment="1" applyProtection="1">
      <alignment horizontal="center" vertical="center"/>
      <protection locked="0"/>
    </xf>
    <xf numFmtId="0" fontId="0" fillId="3" borderId="18" xfId="0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24</xdr:row>
          <xdr:rowOff>152400</xdr:rowOff>
        </xdr:from>
        <xdr:to>
          <xdr:col>2</xdr:col>
          <xdr:colOff>1095375</xdr:colOff>
          <xdr:row>27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the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H38"/>
  <sheetViews>
    <sheetView tabSelected="1" workbookViewId="0">
      <selection activeCell="C24" sqref="C24"/>
    </sheetView>
  </sheetViews>
  <sheetFormatPr baseColWidth="10" defaultRowHeight="15" x14ac:dyDescent="0.25"/>
  <cols>
    <col min="2" max="2" width="23.7109375" bestFit="1" customWidth="1"/>
    <col min="3" max="3" width="19" customWidth="1"/>
    <col min="4" max="4" width="23.7109375" hidden="1" customWidth="1"/>
    <col min="5" max="5" width="77" customWidth="1"/>
    <col min="6" max="6" width="23.85546875" hidden="1" customWidth="1"/>
    <col min="7" max="7" width="28.42578125" hidden="1" customWidth="1"/>
    <col min="8" max="8" width="30.42578125" hidden="1" customWidth="1"/>
  </cols>
  <sheetData>
    <row r="1" spans="2:8" x14ac:dyDescent="0.25">
      <c r="E1" s="1" t="s">
        <v>89</v>
      </c>
      <c r="F1" s="2" t="s">
        <v>82</v>
      </c>
      <c r="G1" s="2" t="s">
        <v>81</v>
      </c>
      <c r="H1" s="2" t="s">
        <v>45</v>
      </c>
    </row>
    <row r="2" spans="2:8" x14ac:dyDescent="0.25">
      <c r="E2" s="1" t="s">
        <v>90</v>
      </c>
      <c r="F2" s="3" t="s">
        <v>83</v>
      </c>
      <c r="G2" s="3" t="s">
        <v>46</v>
      </c>
      <c r="H2" s="3" t="s">
        <v>31</v>
      </c>
    </row>
    <row r="3" spans="2:8" x14ac:dyDescent="0.25">
      <c r="F3" s="3" t="s">
        <v>84</v>
      </c>
      <c r="G3" s="3" t="s">
        <v>47</v>
      </c>
      <c r="H3" s="3" t="s">
        <v>25</v>
      </c>
    </row>
    <row r="4" spans="2:8" ht="15.75" thickBot="1" x14ac:dyDescent="0.3">
      <c r="C4" s="4"/>
      <c r="D4" s="4"/>
      <c r="F4" s="2"/>
      <c r="G4" s="3" t="s">
        <v>48</v>
      </c>
      <c r="H4" s="3" t="s">
        <v>32</v>
      </c>
    </row>
    <row r="5" spans="2:8" ht="15.75" thickTop="1" x14ac:dyDescent="0.25">
      <c r="B5" s="24" t="s">
        <v>85</v>
      </c>
      <c r="C5" s="25"/>
      <c r="D5" s="4"/>
      <c r="F5" s="2" t="s">
        <v>104</v>
      </c>
      <c r="G5" s="3" t="s">
        <v>49</v>
      </c>
      <c r="H5" s="3" t="s">
        <v>34</v>
      </c>
    </row>
    <row r="6" spans="2:8" ht="15.75" thickBot="1" x14ac:dyDescent="0.3">
      <c r="B6" s="26"/>
      <c r="C6" s="27"/>
      <c r="D6" s="4"/>
      <c r="F6" s="2">
        <v>1</v>
      </c>
      <c r="G6" s="3" t="s">
        <v>50</v>
      </c>
      <c r="H6" s="3" t="s">
        <v>16</v>
      </c>
    </row>
    <row r="7" spans="2:8" ht="15.75" thickTop="1" x14ac:dyDescent="0.25">
      <c r="B7" s="5" t="s">
        <v>103</v>
      </c>
      <c r="C7" s="21">
        <v>24</v>
      </c>
      <c r="D7" s="4"/>
      <c r="E7" t="s">
        <v>102</v>
      </c>
      <c r="F7" s="2">
        <v>2</v>
      </c>
      <c r="G7" s="3" t="s">
        <v>51</v>
      </c>
      <c r="H7" s="3" t="s">
        <v>37</v>
      </c>
    </row>
    <row r="8" spans="2:8" x14ac:dyDescent="0.25">
      <c r="B8" s="6" t="s">
        <v>3</v>
      </c>
      <c r="C8" s="22" t="s">
        <v>53</v>
      </c>
      <c r="D8" s="4" t="str">
        <f>VLOOKUP(C8,G2:H38,2)</f>
        <v>CAP</v>
      </c>
      <c r="F8" s="2">
        <v>4</v>
      </c>
      <c r="G8" s="3" t="s">
        <v>52</v>
      </c>
      <c r="H8" s="3" t="s">
        <v>18</v>
      </c>
    </row>
    <row r="9" spans="2:8" x14ac:dyDescent="0.25">
      <c r="B9" s="6" t="s">
        <v>5</v>
      </c>
      <c r="C9" s="22" t="s">
        <v>84</v>
      </c>
      <c r="D9" s="4"/>
      <c r="F9" s="2">
        <v>8</v>
      </c>
      <c r="G9" s="3" t="s">
        <v>53</v>
      </c>
      <c r="H9" s="3" t="s">
        <v>30</v>
      </c>
    </row>
    <row r="10" spans="2:8" ht="15.75" thickBot="1" x14ac:dyDescent="0.3">
      <c r="B10" s="7" t="s">
        <v>2</v>
      </c>
      <c r="C10" s="23">
        <v>79</v>
      </c>
      <c r="D10" s="4"/>
      <c r="F10" s="2">
        <v>12</v>
      </c>
      <c r="G10" s="3" t="s">
        <v>54</v>
      </c>
      <c r="H10" s="3" t="s">
        <v>26</v>
      </c>
    </row>
    <row r="11" spans="2:8" ht="16.5" thickTop="1" thickBot="1" x14ac:dyDescent="0.3">
      <c r="B11" s="30" t="s">
        <v>101</v>
      </c>
      <c r="C11" s="31"/>
      <c r="D11" s="4"/>
      <c r="F11" s="2">
        <v>24</v>
      </c>
      <c r="G11" s="3" t="s">
        <v>55</v>
      </c>
      <c r="H11" s="3" t="s">
        <v>20</v>
      </c>
    </row>
    <row r="12" spans="2:8" ht="15.75" thickTop="1" x14ac:dyDescent="0.25">
      <c r="B12" s="5" t="s">
        <v>6</v>
      </c>
      <c r="C12" s="15">
        <v>80.709999999999994</v>
      </c>
      <c r="D12" s="4"/>
      <c r="F12" s="2">
        <v>36</v>
      </c>
      <c r="G12" s="3" t="s">
        <v>56</v>
      </c>
      <c r="H12" s="3" t="s">
        <v>13</v>
      </c>
    </row>
    <row r="13" spans="2:8" x14ac:dyDescent="0.25">
      <c r="B13" s="6" t="s">
        <v>7</v>
      </c>
      <c r="C13" s="16">
        <v>0.11864485859986493</v>
      </c>
      <c r="D13" s="4"/>
      <c r="F13" s="2">
        <v>48</v>
      </c>
      <c r="G13" s="3" t="s">
        <v>36</v>
      </c>
      <c r="H13" s="3" t="s">
        <v>36</v>
      </c>
    </row>
    <row r="14" spans="2:8" ht="15.75" thickBot="1" x14ac:dyDescent="0.3">
      <c r="B14" s="10" t="s">
        <v>91</v>
      </c>
      <c r="C14" s="17">
        <v>6.0999999999999997E-4</v>
      </c>
      <c r="D14" s="4"/>
      <c r="F14" s="2"/>
      <c r="G14" s="3" t="s">
        <v>57</v>
      </c>
      <c r="H14" s="3" t="s">
        <v>9</v>
      </c>
    </row>
    <row r="15" spans="2:8" ht="16.5" thickTop="1" thickBot="1" x14ac:dyDescent="0.3">
      <c r="B15" s="28" t="s">
        <v>100</v>
      </c>
      <c r="C15" s="29"/>
      <c r="D15" s="4"/>
      <c r="F15" s="2"/>
      <c r="G15" s="3" t="s">
        <v>59</v>
      </c>
      <c r="H15" s="3" t="s">
        <v>8</v>
      </c>
    </row>
    <row r="16" spans="2:8" ht="15.75" thickTop="1" x14ac:dyDescent="0.25">
      <c r="B16" s="5" t="s">
        <v>0</v>
      </c>
      <c r="C16" s="18">
        <v>-0.38165975671425251</v>
      </c>
      <c r="D16" s="4"/>
      <c r="F16" s="2"/>
      <c r="G16" s="3" t="s">
        <v>66</v>
      </c>
      <c r="H16" s="3" t="s">
        <v>43</v>
      </c>
    </row>
    <row r="17" spans="2:8" x14ac:dyDescent="0.25">
      <c r="B17" s="6" t="s">
        <v>1</v>
      </c>
      <c r="C17" s="19">
        <v>5.6312194467368355E-2</v>
      </c>
      <c r="D17" s="4"/>
      <c r="F17" s="2"/>
      <c r="G17" s="3" t="s">
        <v>61</v>
      </c>
      <c r="H17" s="3" t="s">
        <v>33</v>
      </c>
    </row>
    <row r="18" spans="2:8" x14ac:dyDescent="0.25">
      <c r="B18" s="6" t="s">
        <v>4</v>
      </c>
      <c r="C18" s="19">
        <v>21.76086095802432</v>
      </c>
      <c r="D18" s="4"/>
      <c r="F18" s="2"/>
      <c r="G18" s="3" t="s">
        <v>106</v>
      </c>
      <c r="H18" s="3" t="s">
        <v>10</v>
      </c>
    </row>
    <row r="19" spans="2:8" x14ac:dyDescent="0.25">
      <c r="B19" s="6" t="s">
        <v>87</v>
      </c>
      <c r="C19" s="19">
        <v>-32.706049849122863</v>
      </c>
      <c r="D19" s="4"/>
      <c r="F19" s="2"/>
      <c r="G19" s="3" t="s">
        <v>60</v>
      </c>
      <c r="H19" s="3" t="s">
        <v>21</v>
      </c>
    </row>
    <row r="20" spans="2:8" ht="15.75" thickBot="1" x14ac:dyDescent="0.3">
      <c r="B20" s="10" t="s">
        <v>86</v>
      </c>
      <c r="C20" s="20">
        <v>-1.2709564452800937</v>
      </c>
      <c r="D20" s="4"/>
      <c r="F20" s="2"/>
      <c r="G20" s="3" t="s">
        <v>62</v>
      </c>
      <c r="H20" s="3" t="s">
        <v>12</v>
      </c>
    </row>
    <row r="21" spans="2:8" ht="16.5" thickTop="1" thickBot="1" x14ac:dyDescent="0.3">
      <c r="B21" s="8"/>
      <c r="C21" s="9"/>
      <c r="D21" s="4"/>
      <c r="F21" s="2"/>
      <c r="G21" s="3" t="s">
        <v>63</v>
      </c>
      <c r="H21" s="3" t="s">
        <v>41</v>
      </c>
    </row>
    <row r="22" spans="2:8" ht="16.5" thickTop="1" thickBot="1" x14ac:dyDescent="0.3">
      <c r="B22" s="11" t="s">
        <v>88</v>
      </c>
      <c r="C22" s="12">
        <v>1.9022908847155442</v>
      </c>
      <c r="D22" s="4"/>
      <c r="F22" s="2"/>
      <c r="G22" s="3" t="s">
        <v>58</v>
      </c>
      <c r="H22" s="3" t="s">
        <v>22</v>
      </c>
    </row>
    <row r="23" spans="2:8" ht="15.75" thickTop="1" x14ac:dyDescent="0.25">
      <c r="F23" s="2"/>
      <c r="G23" s="3" t="s">
        <v>64</v>
      </c>
      <c r="H23" s="3" t="s">
        <v>35</v>
      </c>
    </row>
    <row r="24" spans="2:8" x14ac:dyDescent="0.25">
      <c r="E24" s="14" t="s">
        <v>92</v>
      </c>
      <c r="F24" s="2"/>
      <c r="G24" s="3" t="s">
        <v>65</v>
      </c>
      <c r="H24" s="3" t="s">
        <v>23</v>
      </c>
    </row>
    <row r="25" spans="2:8" x14ac:dyDescent="0.25">
      <c r="E25" s="13" t="s">
        <v>96</v>
      </c>
      <c r="F25" s="2"/>
      <c r="G25" s="3" t="s">
        <v>67</v>
      </c>
      <c r="H25" s="3" t="s">
        <v>17</v>
      </c>
    </row>
    <row r="26" spans="2:8" x14ac:dyDescent="0.25">
      <c r="E26" s="13" t="s">
        <v>97</v>
      </c>
      <c r="F26" s="2"/>
      <c r="G26" s="3" t="s">
        <v>68</v>
      </c>
      <c r="H26" s="3" t="s">
        <v>27</v>
      </c>
    </row>
    <row r="27" spans="2:8" x14ac:dyDescent="0.25">
      <c r="F27" s="2"/>
      <c r="G27" s="3" t="s">
        <v>69</v>
      </c>
      <c r="H27" s="3" t="s">
        <v>28</v>
      </c>
    </row>
    <row r="28" spans="2:8" x14ac:dyDescent="0.25">
      <c r="E28" t="s">
        <v>93</v>
      </c>
      <c r="F28" s="2"/>
      <c r="G28" s="3" t="s">
        <v>70</v>
      </c>
      <c r="H28" s="3" t="s">
        <v>38</v>
      </c>
    </row>
    <row r="29" spans="2:8" x14ac:dyDescent="0.25">
      <c r="E29" s="4" t="s">
        <v>94</v>
      </c>
      <c r="F29" s="2"/>
      <c r="G29" s="3" t="s">
        <v>71</v>
      </c>
      <c r="H29" s="3" t="s">
        <v>40</v>
      </c>
    </row>
    <row r="30" spans="2:8" x14ac:dyDescent="0.25">
      <c r="E30" t="s">
        <v>95</v>
      </c>
      <c r="F30" s="2"/>
      <c r="G30" s="3" t="s">
        <v>72</v>
      </c>
      <c r="H30" s="3" t="s">
        <v>29</v>
      </c>
    </row>
    <row r="31" spans="2:8" x14ac:dyDescent="0.25">
      <c r="F31" s="2"/>
      <c r="G31" s="3" t="s">
        <v>73</v>
      </c>
      <c r="H31" s="3" t="s">
        <v>39</v>
      </c>
    </row>
    <row r="32" spans="2:8" x14ac:dyDescent="0.25">
      <c r="E32" t="s">
        <v>99</v>
      </c>
      <c r="F32" s="2"/>
      <c r="G32" s="3" t="s">
        <v>74</v>
      </c>
      <c r="H32" s="3" t="s">
        <v>14</v>
      </c>
    </row>
    <row r="33" spans="5:8" x14ac:dyDescent="0.25">
      <c r="E33" t="s">
        <v>98</v>
      </c>
      <c r="F33" s="2"/>
      <c r="G33" s="3" t="s">
        <v>75</v>
      </c>
      <c r="H33" s="3" t="s">
        <v>19</v>
      </c>
    </row>
    <row r="34" spans="5:8" x14ac:dyDescent="0.25">
      <c r="F34" s="2"/>
      <c r="G34" s="3" t="s">
        <v>76</v>
      </c>
      <c r="H34" s="3" t="s">
        <v>42</v>
      </c>
    </row>
    <row r="35" spans="5:8" x14ac:dyDescent="0.25">
      <c r="E35" t="s">
        <v>105</v>
      </c>
      <c r="F35" s="2"/>
      <c r="G35" s="3" t="s">
        <v>77</v>
      </c>
      <c r="H35" s="3" t="s">
        <v>24</v>
      </c>
    </row>
    <row r="36" spans="5:8" x14ac:dyDescent="0.25">
      <c r="F36" s="2"/>
      <c r="G36" s="3" t="s">
        <v>78</v>
      </c>
      <c r="H36" s="3" t="s">
        <v>44</v>
      </c>
    </row>
    <row r="37" spans="5:8" x14ac:dyDescent="0.25">
      <c r="F37" s="2"/>
      <c r="G37" s="3" t="s">
        <v>79</v>
      </c>
      <c r="H37" s="3" t="s">
        <v>11</v>
      </c>
    </row>
    <row r="38" spans="5:8" x14ac:dyDescent="0.25">
      <c r="F38" s="2"/>
      <c r="G38" s="3" t="s">
        <v>80</v>
      </c>
      <c r="H38" s="3" t="s">
        <v>15</v>
      </c>
    </row>
  </sheetData>
  <sheetProtection sheet="1" objects="1" scenarios="1"/>
  <sortState ref="G2:H39">
    <sortCondition ref="G49"/>
  </sortState>
  <mergeCells count="3">
    <mergeCell ref="B5:C6"/>
    <mergeCell ref="B15:C15"/>
    <mergeCell ref="B11:C11"/>
  </mergeCells>
  <dataValidations count="3">
    <dataValidation type="list" allowBlank="1" showInputMessage="1" showErrorMessage="1" errorTitle="Error" error="The company can only be one of the list ones." sqref="C8">
      <formula1>Entreprises</formula1>
    </dataValidation>
    <dataValidation type="list" allowBlank="1" showInputMessage="1" showErrorMessage="1" errorTitle="Error" error="Can only be Call or Put" sqref="C9">
      <formula1>$F$2:$F$3</formula1>
    </dataValidation>
    <dataValidation type="list" allowBlank="1" showInputMessage="1" showErrorMessage="1" errorTitle="Error" error="Maturity can only be one of this list." sqref="C7">
      <formula1>Maturités_possibles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utePrices">
                <anchor moveWithCells="1" sizeWithCells="1">
                  <from>
                    <xdr:col>1</xdr:col>
                    <xdr:colOff>161925</xdr:colOff>
                    <xdr:row>24</xdr:row>
                    <xdr:rowOff>152400</xdr:rowOff>
                  </from>
                  <to>
                    <xdr:col>2</xdr:col>
                    <xdr:colOff>1095375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Feuil1</vt:lpstr>
      <vt:lpstr>Feuil2</vt:lpstr>
      <vt:lpstr>Feuil3</vt:lpstr>
      <vt:lpstr>Entreprises</vt:lpstr>
      <vt:lpstr>Maturités_possibles</vt:lpstr>
      <vt:lpstr>ProduitsPossibles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Yoann Dubernet</dc:creator>
  <cp:lastModifiedBy>Yoann Dubernet</cp:lastModifiedBy>
  <dcterms:created xsi:type="dcterms:W3CDTF">2015-03-02T13:54:00Z</dcterms:created>
  <dcterms:modified xsi:type="dcterms:W3CDTF">2015-05-10T23:28:06Z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S Team System Data DO NOT EDIT_GUID">
    <vt:lpwstr>2110dfea-f3dc-463d-8d04-aa802c18aa24</vt:lpwstr>
  </property>
</Properties>
</file>